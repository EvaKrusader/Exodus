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MCreatorWorkspaces\the_better_server\src\main\resources\assets\the_better_server\values\"/>
    </mc:Choice>
  </mc:AlternateContent>
  <xr:revisionPtr revIDLastSave="0" documentId="13_ncr:1_{3DE4A81C-A988-49C7-AB4D-D327E48D3866}" xr6:coauthVersionLast="47" xr6:coauthVersionMax="47" xr10:uidLastSave="{00000000-0000-0000-0000-000000000000}"/>
  <bookViews>
    <workbookView xWindow="38280" yWindow="-120" windowWidth="38640" windowHeight="21240" activeTab="2" xr2:uid="{BBFDF7DA-4EF6-43DB-84D4-33C80F34BC72}"/>
  </bookViews>
  <sheets>
    <sheet name="Authority" sheetId="1" r:id="rId1"/>
    <sheet name="Gold Rush" sheetId="2" r:id="rId2"/>
    <sheet name="Level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3" l="1"/>
  <c r="M4" i="3"/>
  <c r="M12" i="3" s="1"/>
  <c r="M17" i="3" s="1"/>
  <c r="Z32" i="2"/>
  <c r="Y32" i="2"/>
  <c r="X32" i="2"/>
  <c r="W32" i="2"/>
  <c r="V32" i="2"/>
  <c r="U32" i="2"/>
  <c r="L33" i="2"/>
  <c r="L26" i="2" s="1"/>
  <c r="K33" i="2"/>
  <c r="J33" i="2"/>
  <c r="I33" i="2"/>
  <c r="H33" i="2"/>
  <c r="G33" i="2"/>
  <c r="K26" i="2"/>
  <c r="J26" i="2"/>
  <c r="I26" i="2"/>
  <c r="H26" i="2"/>
  <c r="G26" i="2"/>
  <c r="Z6" i="2"/>
  <c r="Y6" i="2"/>
  <c r="X6" i="2"/>
  <c r="W6" i="2"/>
  <c r="W4" i="2" s="1"/>
  <c r="V6" i="2"/>
  <c r="V4" i="2" s="1"/>
  <c r="U6" i="2"/>
  <c r="U4" i="2" s="1"/>
  <c r="Y4" i="2"/>
  <c r="Z4" i="2"/>
  <c r="X4" i="2"/>
  <c r="L6" i="2"/>
  <c r="L4" i="2" s="1"/>
  <c r="K6" i="2"/>
  <c r="J6" i="2"/>
  <c r="J4" i="2" s="1"/>
  <c r="I6" i="2"/>
  <c r="H6" i="2"/>
  <c r="H4" i="2" s="1"/>
  <c r="G6" i="2"/>
  <c r="G4" i="2" s="1"/>
  <c r="K4" i="2"/>
  <c r="I4" i="2"/>
  <c r="X41" i="1"/>
  <c r="X34" i="1" s="1"/>
  <c r="W41" i="1"/>
  <c r="W34" i="1" s="1"/>
  <c r="V41" i="1"/>
  <c r="V34" i="1" s="1"/>
  <c r="U41" i="1"/>
  <c r="U34" i="1" s="1"/>
  <c r="T41" i="1"/>
  <c r="T34" i="1" s="1"/>
  <c r="S41" i="1"/>
  <c r="S34" i="1" s="1"/>
  <c r="X13" i="1"/>
  <c r="X6" i="1" s="1"/>
  <c r="W13" i="1"/>
  <c r="W6" i="1" s="1"/>
  <c r="V13" i="1"/>
  <c r="V6" i="1" s="1"/>
  <c r="U13" i="1"/>
  <c r="U6" i="1" s="1"/>
  <c r="T13" i="1"/>
  <c r="T6" i="1" s="1"/>
  <c r="S13" i="1"/>
  <c r="S6" i="1" s="1"/>
  <c r="L13" i="1"/>
  <c r="L6" i="1" s="1"/>
  <c r="K13" i="1"/>
  <c r="K6" i="1" s="1"/>
  <c r="J13" i="1"/>
  <c r="J6" i="1" s="1"/>
  <c r="I13" i="1"/>
  <c r="I6" i="1" s="1"/>
  <c r="H13" i="1"/>
  <c r="H6" i="1" s="1"/>
  <c r="G13" i="1"/>
  <c r="G6" i="1" s="1"/>
  <c r="N12" i="3" l="1"/>
  <c r="P12" i="3"/>
  <c r="Q12" i="3"/>
  <c r="R12" i="3"/>
  <c r="O12" i="3"/>
</calcChain>
</file>

<file path=xl/sharedStrings.xml><?xml version="1.0" encoding="utf-8"?>
<sst xmlns="http://schemas.openxmlformats.org/spreadsheetml/2006/main" count="46" uniqueCount="22">
  <si>
    <t>Plus</t>
  </si>
  <si>
    <t>Multiplier</t>
  </si>
  <si>
    <t>Enchant Level</t>
  </si>
  <si>
    <t>Range</t>
  </si>
  <si>
    <t>Effect Power</t>
  </si>
  <si>
    <t>Duration (seconds)</t>
  </si>
  <si>
    <t>Start Chance</t>
  </si>
  <si>
    <t>Helmet</t>
  </si>
  <si>
    <t>Chestplate</t>
  </si>
  <si>
    <t>Leggings</t>
  </si>
  <si>
    <t>Boots</t>
  </si>
  <si>
    <t>Pickaxe</t>
  </si>
  <si>
    <t>Gold Rush Multiplier</t>
  </si>
  <si>
    <t>Gold Rush Additive</t>
  </si>
  <si>
    <t>Gold Block</t>
  </si>
  <si>
    <t>Gold Ore</t>
  </si>
  <si>
    <t>Stone</t>
  </si>
  <si>
    <t>Deepslate</t>
  </si>
  <si>
    <t>Netherrack</t>
  </si>
  <si>
    <t>Gilded Blackstone</t>
  </si>
  <si>
    <t>Raw Gold Block</t>
  </si>
  <si>
    <t>Gold Points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</si>
</sst>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Avarice</a:t>
            </a:r>
            <a:r>
              <a:rPr lang="fr-FR" baseline="0"/>
              <a:t> Authority </a:t>
            </a:r>
            <a:r>
              <a:rPr lang="fr-FR"/>
              <a:t>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Authority!$F$6</c:f>
              <c:strCache>
                <c:ptCount val="1"/>
                <c:pt idx="0">
                  <c:v>Range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Authority!$G$5:$L$5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Authority!$G$6:$L$6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B-47E4-B0C8-902C0000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29024"/>
        <c:axId val="833566016"/>
      </c:scatterChart>
      <c:valAx>
        <c:axId val="7022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566016"/>
        <c:crosses val="autoZero"/>
        <c:crossBetween val="midCat"/>
      </c:valAx>
      <c:valAx>
        <c:axId val="8335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22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Avarice Authority</a:t>
            </a:r>
            <a:r>
              <a:rPr lang="fr-FR" baseline="0"/>
              <a:t> Power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Authority!$R$6</c:f>
              <c:strCache>
                <c:ptCount val="1"/>
                <c:pt idx="0">
                  <c:v>Effect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Authority!$S$5:$X$5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Authority!$S$6:$X$6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3-4605-9C3D-125017176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83504"/>
        <c:axId val="833546816"/>
      </c:scatterChart>
      <c:valAx>
        <c:axId val="1507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546816"/>
        <c:crosses val="autoZero"/>
        <c:crossBetween val="midCat"/>
      </c:valAx>
      <c:valAx>
        <c:axId val="83354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Avarice</a:t>
            </a:r>
            <a:r>
              <a:rPr lang="fr-FR" baseline="0"/>
              <a:t> Slowness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Authority!$R$34</c:f>
              <c:strCache>
                <c:ptCount val="1"/>
                <c:pt idx="0">
                  <c:v>Effect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Authority!$S$33:$X$33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Authority!$S$34:$X$34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C-4F1A-B63D-F3A70B70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86368"/>
        <c:axId val="833523776"/>
      </c:scatterChart>
      <c:valAx>
        <c:axId val="17958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523776"/>
        <c:crosses val="autoZero"/>
        <c:crossBetween val="midCat"/>
      </c:valAx>
      <c:valAx>
        <c:axId val="8335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58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Rush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'Gold Rush'!$F$4</c:f>
              <c:strCache>
                <c:ptCount val="1"/>
                <c:pt idx="0">
                  <c:v>Effect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'Gold Rush'!$G$3:$L$3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'Gold Rush'!$G$4:$L$4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9-4521-BDDC-CC7D5628C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70592"/>
        <c:axId val="720922336"/>
      </c:scatterChart>
      <c:valAx>
        <c:axId val="1795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0922336"/>
        <c:crosses val="autoZero"/>
        <c:crossBetween val="midCat"/>
      </c:valAx>
      <c:valAx>
        <c:axId val="7209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57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Rush</a:t>
            </a:r>
            <a:r>
              <a:rPr lang="en-US" baseline="0"/>
              <a:t>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'Gold Rush'!$T$4</c:f>
              <c:strCache>
                <c:ptCount val="1"/>
                <c:pt idx="0">
                  <c:v>Duration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'Gold Rush'!$U$3:$Z$3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'Gold Rush'!$U$4:$Z$4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19</c:v>
                </c:pt>
                <c:pt idx="3">
                  <c:v>26</c:v>
                </c:pt>
                <c:pt idx="4">
                  <c:v>34</c:v>
                </c:pt>
                <c:pt idx="5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6D-4087-BB0F-51D97D0A1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92400"/>
        <c:axId val="833527136"/>
      </c:scatterChart>
      <c:valAx>
        <c:axId val="17959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527136"/>
        <c:crosses val="autoZero"/>
        <c:crossBetween val="midCat"/>
      </c:valAx>
      <c:valAx>
        <c:axId val="8335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59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'Gold Rush'!$F$26</c:f>
              <c:strCache>
                <c:ptCount val="1"/>
                <c:pt idx="0">
                  <c:v>Duration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'Gold Rush'!$G$25:$L$25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'Gold Rush'!$G$26:$L$26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3-4BB9-B1FF-894DACE31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82208"/>
        <c:axId val="833541536"/>
      </c:scatterChart>
      <c:valAx>
        <c:axId val="2640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3541536"/>
        <c:crosses val="autoZero"/>
        <c:crossBetween val="midCat"/>
      </c:valAx>
      <c:valAx>
        <c:axId val="8335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'Gold Rush'!$T$32</c:f>
              <c:strCache>
                <c:ptCount val="1"/>
                <c:pt idx="0">
                  <c:v>Start Chance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'Gold Rush'!$U$31:$Z$31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'Gold Rush'!$U$32:$Z$32</c:f>
              <c:numCache>
                <c:formatCode>General</c:formatCode>
                <c:ptCount val="6"/>
                <c:pt idx="0">
                  <c:v>0</c:v>
                </c:pt>
                <c:pt idx="1">
                  <c:v>0.19</c:v>
                </c:pt>
                <c:pt idx="2">
                  <c:v>0.38</c:v>
                </c:pt>
                <c:pt idx="3">
                  <c:v>0.57000000000000006</c:v>
                </c:pt>
                <c:pt idx="4">
                  <c:v>0.76</c:v>
                </c:pt>
                <c:pt idx="5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6-4A0C-8F02-886044AE2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12112"/>
        <c:axId val="171883616"/>
      </c:scatterChart>
      <c:valAx>
        <c:axId val="17791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83616"/>
        <c:crosses val="autoZero"/>
        <c:crossBetween val="midCat"/>
      </c:valAx>
      <c:valAx>
        <c:axId val="1718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91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15</xdr:row>
      <xdr:rowOff>23812</xdr:rowOff>
    </xdr:from>
    <xdr:to>
      <xdr:col>10</xdr:col>
      <xdr:colOff>676275</xdr:colOff>
      <xdr:row>29</xdr:row>
      <xdr:rowOff>100012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341ACCD-E5C5-795F-7898-B738041A6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257175</xdr:colOff>
      <xdr:row>15</xdr:row>
      <xdr:rowOff>71437</xdr:rowOff>
    </xdr:from>
    <xdr:to>
      <xdr:col>21</xdr:col>
      <xdr:colOff>257175</xdr:colOff>
      <xdr:row>29</xdr:row>
      <xdr:rowOff>147637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7203A90-5D81-78DC-113C-A2CF95921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619125</xdr:colOff>
      <xdr:row>41</xdr:row>
      <xdr:rowOff>61912</xdr:rowOff>
    </xdr:from>
    <xdr:to>
      <xdr:col>21</xdr:col>
      <xdr:colOff>504825</xdr:colOff>
      <xdr:row>55</xdr:row>
      <xdr:rowOff>138112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D1DE0FF-7549-5FD6-BEAD-951232009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7</xdr:row>
      <xdr:rowOff>42862</xdr:rowOff>
    </xdr:from>
    <xdr:to>
      <xdr:col>11</xdr:col>
      <xdr:colOff>323850</xdr:colOff>
      <xdr:row>21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D73F9D-9C97-BB6C-A8B1-DE98AA7EA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638175</xdr:colOff>
      <xdr:row>6</xdr:row>
      <xdr:rowOff>176212</xdr:rowOff>
    </xdr:from>
    <xdr:to>
      <xdr:col>25</xdr:col>
      <xdr:colOff>638175</xdr:colOff>
      <xdr:row>21</xdr:row>
      <xdr:rowOff>61912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6B6CBE1-59B7-871B-DAB9-EA12AB36B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200025</xdr:colOff>
      <xdr:row>35</xdr:row>
      <xdr:rowOff>147637</xdr:rowOff>
    </xdr:from>
    <xdr:to>
      <xdr:col>11</xdr:col>
      <xdr:colOff>85725</xdr:colOff>
      <xdr:row>50</xdr:row>
      <xdr:rowOff>33337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EFC5833-DA4C-7F79-DF89-5A07181FB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1009650</xdr:colOff>
      <xdr:row>32</xdr:row>
      <xdr:rowOff>119062</xdr:rowOff>
    </xdr:from>
    <xdr:to>
      <xdr:col>25</xdr:col>
      <xdr:colOff>581025</xdr:colOff>
      <xdr:row>47</xdr:row>
      <xdr:rowOff>4762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B779A61-A43D-725D-8765-B1BE86DD4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D659-A8B7-479B-A415-A57DE8BE4439}">
  <dimension ref="C5:X41"/>
  <sheetViews>
    <sheetView workbookViewId="0">
      <selection activeCell="M16" sqref="M16"/>
    </sheetView>
  </sheetViews>
  <sheetFormatPr baseColWidth="10" defaultRowHeight="15" x14ac:dyDescent="0.25"/>
  <cols>
    <col min="6" max="6" width="13.140625" bestFit="1" customWidth="1"/>
    <col min="18" max="18" width="13.140625" bestFit="1" customWidth="1"/>
  </cols>
  <sheetData>
    <row r="5" spans="3:24" x14ac:dyDescent="0.25">
      <c r="F5" t="s">
        <v>2</v>
      </c>
      <c r="G5">
        <v>0</v>
      </c>
      <c r="H5">
        <v>1</v>
      </c>
      <c r="I5">
        <v>2</v>
      </c>
      <c r="J5">
        <v>3</v>
      </c>
      <c r="K5">
        <v>4</v>
      </c>
      <c r="L5">
        <v>5</v>
      </c>
      <c r="R5" t="s">
        <v>2</v>
      </c>
      <c r="S5">
        <v>0</v>
      </c>
      <c r="T5">
        <v>1</v>
      </c>
      <c r="U5">
        <v>2</v>
      </c>
      <c r="V5">
        <v>3</v>
      </c>
      <c r="W5">
        <v>4</v>
      </c>
      <c r="X5">
        <v>5</v>
      </c>
    </row>
    <row r="6" spans="3:24" x14ac:dyDescent="0.25">
      <c r="F6" t="s">
        <v>3</v>
      </c>
      <c r="G6">
        <f t="shared" ref="G6:L6" si="0">ROUNDUP(G13,0)</f>
        <v>3</v>
      </c>
      <c r="H6">
        <f t="shared" si="0"/>
        <v>6</v>
      </c>
      <c r="I6">
        <f t="shared" si="0"/>
        <v>8</v>
      </c>
      <c r="J6">
        <f t="shared" si="0"/>
        <v>10</v>
      </c>
      <c r="K6">
        <f t="shared" si="0"/>
        <v>12</v>
      </c>
      <c r="L6">
        <f t="shared" si="0"/>
        <v>14</v>
      </c>
      <c r="R6" t="s">
        <v>4</v>
      </c>
      <c r="S6">
        <f t="shared" ref="S6:X6" si="1">ROUNDUP(S13,0)</f>
        <v>0</v>
      </c>
      <c r="T6">
        <f t="shared" si="1"/>
        <v>1</v>
      </c>
      <c r="U6">
        <f t="shared" si="1"/>
        <v>1</v>
      </c>
      <c r="V6">
        <f t="shared" si="1"/>
        <v>2</v>
      </c>
      <c r="W6">
        <f t="shared" si="1"/>
        <v>2</v>
      </c>
      <c r="X6">
        <f t="shared" si="1"/>
        <v>3</v>
      </c>
    </row>
    <row r="7" spans="3:24" x14ac:dyDescent="0.25">
      <c r="C7" t="s">
        <v>0</v>
      </c>
      <c r="D7">
        <v>3</v>
      </c>
      <c r="O7" t="s">
        <v>0</v>
      </c>
      <c r="P7">
        <v>0</v>
      </c>
    </row>
    <row r="8" spans="3:24" x14ac:dyDescent="0.25">
      <c r="C8" t="s">
        <v>1</v>
      </c>
      <c r="D8">
        <v>2.2000000000000002</v>
      </c>
      <c r="O8" t="s">
        <v>1</v>
      </c>
      <c r="P8">
        <v>0.45</v>
      </c>
    </row>
    <row r="13" spans="3:24" x14ac:dyDescent="0.25">
      <c r="G13">
        <f>G5*D8+D7</f>
        <v>3</v>
      </c>
      <c r="H13">
        <f>H5*D8+D7</f>
        <v>5.2</v>
      </c>
      <c r="I13">
        <f>I5*D8+D7</f>
        <v>7.4</v>
      </c>
      <c r="J13">
        <f>J5*D8+D7</f>
        <v>9.6000000000000014</v>
      </c>
      <c r="K13">
        <f>K5*D8+D7</f>
        <v>11.8</v>
      </c>
      <c r="L13">
        <f>L5*D8+D7</f>
        <v>14</v>
      </c>
      <c r="S13">
        <f>S5*P8+P7</f>
        <v>0</v>
      </c>
      <c r="T13">
        <f>T5*P8+P7</f>
        <v>0.45</v>
      </c>
      <c r="U13">
        <f>U5*P8+P7</f>
        <v>0.9</v>
      </c>
      <c r="V13">
        <f>V5*P8+P7</f>
        <v>1.35</v>
      </c>
      <c r="W13">
        <f>W5*P8+P7</f>
        <v>1.8</v>
      </c>
      <c r="X13">
        <f>X5*P8+P7</f>
        <v>2.25</v>
      </c>
    </row>
    <row r="33" spans="15:24" x14ac:dyDescent="0.25">
      <c r="R33" t="s">
        <v>2</v>
      </c>
      <c r="S33">
        <v>0</v>
      </c>
      <c r="T33">
        <v>1</v>
      </c>
      <c r="U33">
        <v>2</v>
      </c>
      <c r="V33">
        <v>3</v>
      </c>
      <c r="W33">
        <v>4</v>
      </c>
      <c r="X33">
        <v>5</v>
      </c>
    </row>
    <row r="34" spans="15:24" x14ac:dyDescent="0.25">
      <c r="R34" t="s">
        <v>4</v>
      </c>
      <c r="S34">
        <f t="shared" ref="S34:X34" si="2">ROUNDUP(S41,0)</f>
        <v>1</v>
      </c>
      <c r="T34">
        <f t="shared" si="2"/>
        <v>2</v>
      </c>
      <c r="U34">
        <f t="shared" si="2"/>
        <v>2</v>
      </c>
      <c r="V34">
        <f t="shared" si="2"/>
        <v>3</v>
      </c>
      <c r="W34">
        <f t="shared" si="2"/>
        <v>3</v>
      </c>
      <c r="X34">
        <f t="shared" si="2"/>
        <v>4</v>
      </c>
    </row>
    <row r="35" spans="15:24" x14ac:dyDescent="0.25">
      <c r="O35" t="s">
        <v>0</v>
      </c>
      <c r="P35">
        <v>0.65</v>
      </c>
    </row>
    <row r="36" spans="15:24" x14ac:dyDescent="0.25">
      <c r="O36" t="s">
        <v>1</v>
      </c>
      <c r="P36">
        <v>0.5</v>
      </c>
    </row>
    <row r="41" spans="15:24" x14ac:dyDescent="0.25">
      <c r="S41">
        <f>S33*P36+P35</f>
        <v>0.65</v>
      </c>
      <c r="T41">
        <f>T33*P36+P35</f>
        <v>1.1499999999999999</v>
      </c>
      <c r="U41">
        <f>U33*P36+P35</f>
        <v>1.65</v>
      </c>
      <c r="V41">
        <f>V33*P36+P35</f>
        <v>2.15</v>
      </c>
      <c r="W41">
        <f>W33*P36+P35</f>
        <v>2.65</v>
      </c>
      <c r="X41">
        <f>X33*P36+P35</f>
        <v>3.15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9170-9152-4B74-A19A-A4E7E7977F3D}">
  <dimension ref="C3:Z34"/>
  <sheetViews>
    <sheetView topLeftCell="B1" workbookViewId="0">
      <selection activeCell="Q3" sqref="Q3:Z6"/>
    </sheetView>
  </sheetViews>
  <sheetFormatPr baseColWidth="10" defaultRowHeight="15" x14ac:dyDescent="0.25"/>
  <cols>
    <col min="6" max="6" width="13.140625" bestFit="1" customWidth="1"/>
    <col min="20" max="20" width="17.85546875" bestFit="1" customWidth="1"/>
  </cols>
  <sheetData>
    <row r="3" spans="3:26" x14ac:dyDescent="0.25">
      <c r="F3" t="s">
        <v>2</v>
      </c>
      <c r="G3">
        <v>0</v>
      </c>
      <c r="H3">
        <v>1</v>
      </c>
      <c r="I3">
        <v>2</v>
      </c>
      <c r="J3">
        <v>3</v>
      </c>
      <c r="K3">
        <v>4</v>
      </c>
      <c r="L3">
        <v>5</v>
      </c>
      <c r="T3" t="s">
        <v>2</v>
      </c>
      <c r="U3">
        <v>0</v>
      </c>
      <c r="V3">
        <v>1</v>
      </c>
      <c r="W3">
        <v>2</v>
      </c>
      <c r="X3">
        <v>3</v>
      </c>
      <c r="Y3">
        <v>4</v>
      </c>
      <c r="Z3">
        <v>5</v>
      </c>
    </row>
    <row r="4" spans="3:26" x14ac:dyDescent="0.25">
      <c r="F4" t="s">
        <v>4</v>
      </c>
      <c r="G4">
        <f t="shared" ref="G4:L4" si="0">ROUNDUP(G6,0)</f>
        <v>0</v>
      </c>
      <c r="H4">
        <f t="shared" si="0"/>
        <v>1</v>
      </c>
      <c r="I4">
        <f t="shared" si="0"/>
        <v>2</v>
      </c>
      <c r="J4">
        <f t="shared" si="0"/>
        <v>2</v>
      </c>
      <c r="K4">
        <f t="shared" si="0"/>
        <v>3</v>
      </c>
      <c r="L4">
        <f t="shared" si="0"/>
        <v>4</v>
      </c>
      <c r="T4" t="s">
        <v>5</v>
      </c>
      <c r="U4">
        <f t="shared" ref="U4:Z4" si="1">ROUNDUP(U6,0)</f>
        <v>4</v>
      </c>
      <c r="V4">
        <f t="shared" si="1"/>
        <v>11</v>
      </c>
      <c r="W4">
        <f t="shared" si="1"/>
        <v>19</v>
      </c>
      <c r="X4">
        <f t="shared" si="1"/>
        <v>26</v>
      </c>
      <c r="Y4">
        <f t="shared" si="1"/>
        <v>34</v>
      </c>
      <c r="Z4">
        <f t="shared" si="1"/>
        <v>41</v>
      </c>
    </row>
    <row r="5" spans="3:26" x14ac:dyDescent="0.25">
      <c r="C5" t="s">
        <v>0</v>
      </c>
      <c r="D5">
        <v>0</v>
      </c>
      <c r="Q5" t="s">
        <v>0</v>
      </c>
      <c r="R5">
        <v>3.6</v>
      </c>
    </row>
    <row r="6" spans="3:26" x14ac:dyDescent="0.25">
      <c r="C6" t="s">
        <v>1</v>
      </c>
      <c r="D6">
        <v>0.65</v>
      </c>
      <c r="G6">
        <f>G3*D6+D5</f>
        <v>0</v>
      </c>
      <c r="H6">
        <f>H3*D6+D5</f>
        <v>0.65</v>
      </c>
      <c r="I6">
        <f>I3*D6+D5</f>
        <v>1.3</v>
      </c>
      <c r="J6">
        <f>J3*D6+D5</f>
        <v>1.9500000000000002</v>
      </c>
      <c r="K6">
        <f>K3*D6+D5</f>
        <v>2.6</v>
      </c>
      <c r="L6">
        <f>L3*D6+D5</f>
        <v>3.25</v>
      </c>
      <c r="Q6" t="s">
        <v>1</v>
      </c>
      <c r="R6">
        <v>7.4</v>
      </c>
      <c r="U6">
        <f>U3*R6+R5</f>
        <v>3.6</v>
      </c>
      <c r="V6">
        <f>V3*R6+R5</f>
        <v>11</v>
      </c>
      <c r="W6">
        <f>W3*R6+R5</f>
        <v>18.400000000000002</v>
      </c>
      <c r="X6">
        <f>X3*R6+R5</f>
        <v>25.800000000000004</v>
      </c>
      <c r="Y6">
        <f>Y3*R6+R5</f>
        <v>33.200000000000003</v>
      </c>
      <c r="Z6">
        <f>Z3*R6+R5</f>
        <v>40.6</v>
      </c>
    </row>
    <row r="25" spans="3:26" x14ac:dyDescent="0.25">
      <c r="F25" t="s">
        <v>2</v>
      </c>
      <c r="G25">
        <v>0</v>
      </c>
      <c r="H25">
        <v>1</v>
      </c>
      <c r="I25">
        <v>2</v>
      </c>
      <c r="J25">
        <v>3</v>
      </c>
      <c r="K25">
        <v>4</v>
      </c>
      <c r="L25">
        <v>5</v>
      </c>
    </row>
    <row r="26" spans="3:26" x14ac:dyDescent="0.25">
      <c r="F26" t="s">
        <v>5</v>
      </c>
      <c r="G26">
        <f t="shared" ref="G26:L26" si="2">ROUNDUP(G33,0)</f>
        <v>1</v>
      </c>
      <c r="H26">
        <f t="shared" si="2"/>
        <v>2</v>
      </c>
      <c r="I26">
        <f t="shared" si="2"/>
        <v>2</v>
      </c>
      <c r="J26">
        <f t="shared" si="2"/>
        <v>2</v>
      </c>
      <c r="K26">
        <f t="shared" si="2"/>
        <v>2</v>
      </c>
      <c r="L26">
        <f t="shared" si="2"/>
        <v>2</v>
      </c>
    </row>
    <row r="27" spans="3:26" x14ac:dyDescent="0.25">
      <c r="C27" t="s">
        <v>0</v>
      </c>
      <c r="D27">
        <v>1</v>
      </c>
    </row>
    <row r="28" spans="3:26" x14ac:dyDescent="0.25">
      <c r="C28" t="s">
        <v>1</v>
      </c>
      <c r="D28">
        <v>0.01</v>
      </c>
    </row>
    <row r="31" spans="3:26" x14ac:dyDescent="0.25">
      <c r="T31" t="s">
        <v>2</v>
      </c>
      <c r="U31">
        <v>0</v>
      </c>
      <c r="V31">
        <v>1</v>
      </c>
      <c r="W31">
        <v>2</v>
      </c>
      <c r="X31">
        <v>3</v>
      </c>
      <c r="Y31">
        <v>4</v>
      </c>
      <c r="Z31">
        <v>5</v>
      </c>
    </row>
    <row r="32" spans="3:26" x14ac:dyDescent="0.25">
      <c r="T32" t="s">
        <v>6</v>
      </c>
      <c r="U32">
        <f>U31*R34+R33</f>
        <v>0</v>
      </c>
      <c r="V32">
        <f>V31*R34+R33</f>
        <v>0.19</v>
      </c>
      <c r="W32">
        <f>W31*R34+R33</f>
        <v>0.38</v>
      </c>
      <c r="X32">
        <f>X31*R34+R33</f>
        <v>0.57000000000000006</v>
      </c>
      <c r="Y32">
        <f>Y31*R34+R33</f>
        <v>0.76</v>
      </c>
      <c r="Z32">
        <f>Z31*R34+R33</f>
        <v>0.95</v>
      </c>
    </row>
    <row r="33" spans="7:18" x14ac:dyDescent="0.25">
      <c r="G33">
        <f>G25*D28+D27</f>
        <v>1</v>
      </c>
      <c r="H33">
        <f>H25*D28+D27</f>
        <v>1.01</v>
      </c>
      <c r="I33">
        <f>I25*D28+D27</f>
        <v>1.02</v>
      </c>
      <c r="J33">
        <f>J25*D28+D27</f>
        <v>1.03</v>
      </c>
      <c r="K33">
        <f>K25*D28+D27</f>
        <v>1.04</v>
      </c>
      <c r="L33">
        <f>L25*D28+D27</f>
        <v>1.05</v>
      </c>
      <c r="Q33" t="s">
        <v>0</v>
      </c>
      <c r="R33">
        <v>0</v>
      </c>
    </row>
    <row r="34" spans="7:18" x14ac:dyDescent="0.25">
      <c r="Q34" t="s">
        <v>1</v>
      </c>
      <c r="R34">
        <v>0.19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349B-2C1A-426D-864C-00F15AB2E2F4}">
  <dimension ref="B3:R17"/>
  <sheetViews>
    <sheetView tabSelected="1" workbookViewId="0">
      <selection activeCell="Q5" sqref="Q5"/>
    </sheetView>
  </sheetViews>
  <sheetFormatPr baseColWidth="10" defaultRowHeight="15" x14ac:dyDescent="0.25"/>
  <cols>
    <col min="5" max="5" width="18.85546875" bestFit="1" customWidth="1"/>
    <col min="6" max="6" width="17" bestFit="1" customWidth="1"/>
  </cols>
  <sheetData>
    <row r="3" spans="2:18" x14ac:dyDescent="0.25">
      <c r="B3" t="s">
        <v>7</v>
      </c>
      <c r="C3" t="s">
        <v>8</v>
      </c>
      <c r="D3" t="s">
        <v>9</v>
      </c>
      <c r="E3" t="s">
        <v>10</v>
      </c>
      <c r="G3" t="s">
        <v>11</v>
      </c>
      <c r="J3" t="s">
        <v>12</v>
      </c>
    </row>
    <row r="4" spans="2:18" x14ac:dyDescent="0.25">
      <c r="B4">
        <v>0.09</v>
      </c>
      <c r="C4">
        <v>0.11</v>
      </c>
      <c r="D4">
        <v>7.4999999999999997E-2</v>
      </c>
      <c r="E4">
        <v>6.5000000000000002E-2</v>
      </c>
      <c r="G4">
        <v>0.09</v>
      </c>
      <c r="J4">
        <v>1.3</v>
      </c>
      <c r="M4">
        <f>(B4+C4+D4+E4+G4+J7)*J4</f>
        <v>1.2090000000000001</v>
      </c>
      <c r="Q4">
        <f>C4+B12</f>
        <v>0.41</v>
      </c>
    </row>
    <row r="6" spans="2:18" x14ac:dyDescent="0.25">
      <c r="J6" t="s">
        <v>13</v>
      </c>
    </row>
    <row r="7" spans="2:18" x14ac:dyDescent="0.25">
      <c r="J7">
        <v>0.5</v>
      </c>
    </row>
    <row r="10" spans="2:18" x14ac:dyDescent="0.25">
      <c r="C10" t="s">
        <v>16</v>
      </c>
      <c r="D10" t="s">
        <v>17</v>
      </c>
      <c r="E10" t="s">
        <v>18</v>
      </c>
    </row>
    <row r="11" spans="2:18" x14ac:dyDescent="0.25">
      <c r="B11" t="s">
        <v>14</v>
      </c>
      <c r="C11" t="s">
        <v>15</v>
      </c>
      <c r="D11" t="s">
        <v>15</v>
      </c>
      <c r="E11" t="s">
        <v>15</v>
      </c>
      <c r="F11" t="s">
        <v>19</v>
      </c>
      <c r="G11" t="s">
        <v>20</v>
      </c>
    </row>
    <row r="12" spans="2:18" x14ac:dyDescent="0.25">
      <c r="B12">
        <v>0.3</v>
      </c>
      <c r="C12">
        <v>0.04</v>
      </c>
      <c r="D12">
        <v>7.0000000000000007E-2</v>
      </c>
      <c r="E12">
        <v>5.5E-2</v>
      </c>
      <c r="F12">
        <v>4.4999999999999998E-2</v>
      </c>
      <c r="G12">
        <v>0.17</v>
      </c>
      <c r="M12">
        <f>B12*(1+M4)</f>
        <v>0.66269999999999996</v>
      </c>
      <c r="N12">
        <f>C12*(1+M4)</f>
        <v>8.8360000000000008E-2</v>
      </c>
      <c r="O12">
        <f>D12*(1+M4)</f>
        <v>0.15463000000000002</v>
      </c>
      <c r="P12">
        <f>E12*(1+M4)</f>
        <v>0.12149500000000001</v>
      </c>
      <c r="Q12">
        <f>F12*(1+M4)</f>
        <v>9.9404999999999993E-2</v>
      </c>
      <c r="R12">
        <f>G12*(1+M4)</f>
        <v>0.37553000000000003</v>
      </c>
    </row>
    <row r="16" spans="2:18" x14ac:dyDescent="0.25">
      <c r="E16" t="s">
        <v>2</v>
      </c>
      <c r="F16">
        <v>0</v>
      </c>
      <c r="G16">
        <v>1</v>
      </c>
      <c r="H16">
        <v>2</v>
      </c>
      <c r="I16">
        <v>3</v>
      </c>
      <c r="J16">
        <v>4</v>
      </c>
      <c r="K16">
        <v>5</v>
      </c>
    </row>
    <row r="17" spans="5:13" x14ac:dyDescent="0.25">
      <c r="E17" t="s">
        <v>21</v>
      </c>
      <c r="F17">
        <v>0</v>
      </c>
      <c r="G17">
        <v>20</v>
      </c>
      <c r="H17">
        <v>50</v>
      </c>
      <c r="I17">
        <v>100</v>
      </c>
      <c r="J17">
        <v>150</v>
      </c>
      <c r="K17">
        <v>250</v>
      </c>
      <c r="M17">
        <f>K17/M12</f>
        <v>377.24460540214278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Authority</vt:lpstr>
      <vt:lpstr>Gold Rush</vt:lpstr>
      <vt:lpstr>Leveler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Sarazin</dc:creator>
  <cp:lastModifiedBy>Kalvin Sarazin</cp:lastModifiedBy>
  <dcterms:created xsi:type="dcterms:W3CDTF">2026-08-09T09:51:40Z</dcterms:created>
  <dcterms:modified xsi:type="dcterms:W3CDTF">2026-08-09T21:39:35Z</dcterms:modified>
</cp:coreProperties>
</file>